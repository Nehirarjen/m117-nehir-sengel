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ück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365F91"/>
      <sz val="16"/>
    </font>
    <font>
      <name val="Calibri"/>
      <i val="1"/>
      <sz val="11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365F91"/>
        <bgColor rgb="00365F91"/>
      </patternFill>
    </fill>
    <fill>
      <patternFill patternType="solid">
        <fgColor rgb="00F2F5F8"/>
        <bgColor rgb="00F2F5F8"/>
      </patternFill>
    </fill>
    <fill>
      <patternFill patternType="solid">
        <fgColor rgb="00DCE6F1"/>
        <bgColor rgb="00DCE6F1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4" fontId="4" fillId="0" borderId="1" pivotButton="0" quotePrefix="0" xfId="0"/>
    <xf numFmtId="0" fontId="4" fillId="3" borderId="1" applyAlignment="1" pivotButton="0" quotePrefix="0" xfId="0">
      <alignment horizontal="center"/>
    </xf>
    <xf numFmtId="0" fontId="4" fillId="3" borderId="1" pivotButton="0" quotePrefix="0" xfId="0"/>
    <xf numFmtId="4" fontId="4" fillId="3" borderId="1" pivotButton="0" quotePrefix="0" xfId="0"/>
    <xf numFmtId="0" fontId="0" fillId="4" borderId="2" pivotButton="0" quotePrefix="0" xfId="0"/>
    <xf numFmtId="0" fontId="5" fillId="4" borderId="2" pivotButton="0" quotePrefix="0" xfId="0"/>
    <xf numFmtId="4" fontId="5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8" customWidth="1" min="3" max="3"/>
    <col width="45" customWidth="1" min="4" max="4"/>
    <col width="22" customWidth="1" min="5" max="5"/>
    <col width="14" customWidth="1" min="6" max="6"/>
    <col width="14" customWidth="1" min="7" max="7"/>
    <col width="16" customWidth="1" min="8" max="8"/>
  </cols>
  <sheetData>
    <row r="1">
      <c r="A1" s="1" t="inlineStr">
        <is>
          <t>Stückliste &amp; Materialbeschaffung</t>
        </is>
      </c>
    </row>
    <row r="2">
      <c r="A2" s="2" t="inlineStr">
        <is>
          <t>Projekt: Challenge 2 – ARISTA-LAN (Arista GmbH)</t>
        </is>
      </c>
    </row>
    <row r="3"/>
    <row r="4">
      <c r="A4" s="3" t="inlineStr">
        <is>
          <t>Pos.</t>
        </is>
      </c>
      <c r="B4" s="3" t="inlineStr">
        <is>
          <t>Anzahl</t>
        </is>
      </c>
      <c r="C4" s="4" t="inlineStr">
        <is>
          <t>Bezeichnung</t>
        </is>
      </c>
      <c r="D4" s="4" t="inlineStr">
        <is>
          <t>Eigenschaften</t>
        </is>
      </c>
      <c r="E4" s="4" t="inlineStr">
        <is>
          <t>Lieferant</t>
        </is>
      </c>
      <c r="F4" s="3" t="inlineStr">
        <is>
          <t>Artikelnr.</t>
        </is>
      </c>
      <c r="G4" s="5" t="inlineStr">
        <is>
          <t>CHF / Stk.</t>
        </is>
      </c>
      <c r="H4" s="5" t="inlineStr">
        <is>
          <t>CHF Summe</t>
        </is>
      </c>
    </row>
    <row r="5">
      <c r="A5" s="6" t="n">
        <v>1</v>
      </c>
      <c r="B5" s="6" t="n">
        <v>10</v>
      </c>
      <c r="C5" s="7" t="inlineStr">
        <is>
          <t>Office-PC Komplettset</t>
        </is>
      </c>
      <c r="D5" s="7" t="inlineStr">
        <is>
          <t>Tischgerät, MS-WIN11-Pro, CH-Tastatur, Maus, 24"-LCD-Screen</t>
        </is>
      </c>
      <c r="E5" s="7" t="inlineStr">
        <is>
          <t>Digitec Galaxus AG</t>
        </is>
      </c>
      <c r="F5" s="6" t="inlineStr">
        <is>
          <t>14589210</t>
        </is>
      </c>
      <c r="G5" s="8" t="n">
        <v>850</v>
      </c>
      <c r="H5" s="8">
        <f>B5*G5</f>
        <v/>
      </c>
    </row>
    <row r="6">
      <c r="A6" s="9" t="n">
        <v>2</v>
      </c>
      <c r="B6" s="9" t="n">
        <v>3</v>
      </c>
      <c r="C6" s="10" t="inlineStr">
        <is>
          <t>B/W-Netzwerk-Laserdrucker</t>
        </is>
      </c>
      <c r="D6" s="10" t="inlineStr">
        <is>
          <t>A4, RJ45 Ethernet, Duplex, 40 Seiten/Min</t>
        </is>
      </c>
      <c r="E6" s="10" t="inlineStr">
        <is>
          <t>Digitec Galaxus AG</t>
        </is>
      </c>
      <c r="F6" s="9" t="inlineStr">
        <is>
          <t>11223344</t>
        </is>
      </c>
      <c r="G6" s="11" t="n">
        <v>280</v>
      </c>
      <c r="H6" s="11">
        <f>B6*G6</f>
        <v/>
      </c>
    </row>
    <row r="7">
      <c r="A7" s="6" t="n">
        <v>3</v>
      </c>
      <c r="B7" s="6" t="n">
        <v>1</v>
      </c>
      <c r="C7" s="7" t="inlineStr">
        <is>
          <t>Color-Netzwerk-Laserdrucker</t>
        </is>
      </c>
      <c r="D7" s="7" t="inlineStr">
        <is>
          <t>A4, RJ45 Ethernet, hohe Farbtreue, PostScript</t>
        </is>
      </c>
      <c r="E7" s="7" t="inlineStr">
        <is>
          <t>Digitec Galaxus AG</t>
        </is>
      </c>
      <c r="F7" s="6" t="inlineStr">
        <is>
          <t>55667788</t>
        </is>
      </c>
      <c r="G7" s="8" t="n">
        <v>450</v>
      </c>
      <c r="H7" s="8">
        <f>B7*G7</f>
        <v/>
      </c>
    </row>
    <row r="8">
      <c r="A8" s="9" t="n">
        <v>4</v>
      </c>
      <c r="B8" s="9" t="n">
        <v>1</v>
      </c>
      <c r="C8" s="10" t="inlineStr">
        <is>
          <t>16-Port Unmanaged Layer-2 Switch</t>
        </is>
      </c>
      <c r="D8" s="10" t="inlineStr">
        <is>
          <t>SW-01, Gigabit Ethernet, lüfterlos, Metallgehäuse</t>
        </is>
      </c>
      <c r="E8" s="10" t="inlineStr">
        <is>
          <t>Digitec Galaxus AG</t>
        </is>
      </c>
      <c r="F8" s="9" t="inlineStr">
        <is>
          <t>99887766</t>
        </is>
      </c>
      <c r="G8" s="11" t="n">
        <v>65</v>
      </c>
      <c r="H8" s="11">
        <f>B8*G8</f>
        <v/>
      </c>
    </row>
    <row r="9">
      <c r="A9" s="6" t="n">
        <v>5</v>
      </c>
      <c r="B9" s="6" t="n">
        <v>1</v>
      </c>
      <c r="C9" s="7" t="inlineStr">
        <is>
          <t>8-Port Unmanaged Layer-2 Switch</t>
        </is>
      </c>
      <c r="D9" s="7" t="inlineStr">
        <is>
          <t>SW-02, Gigabit Ethernet, kompakt, lüfterlos</t>
        </is>
      </c>
      <c r="E9" s="7" t="inlineStr">
        <is>
          <t>Digitec Galaxus AG</t>
        </is>
      </c>
      <c r="F9" s="6" t="inlineStr">
        <is>
          <t>44332211</t>
        </is>
      </c>
      <c r="G9" s="8" t="n">
        <v>35</v>
      </c>
      <c r="H9" s="8">
        <f>B9*G9</f>
        <v/>
      </c>
    </row>
    <row r="10">
      <c r="A10" s="9" t="n">
        <v>6</v>
      </c>
      <c r="B10" s="9" t="n">
        <v>14</v>
      </c>
      <c r="C10" s="10" t="inlineStr">
        <is>
          <t>RJ45-Netzwerkdose Cat6</t>
        </is>
      </c>
      <c r="D10" s="10" t="inlineStr">
        <is>
          <t>Aufputz, 2x RJ45-Ports, geschirmt</t>
        </is>
      </c>
      <c r="E10" s="10" t="inlineStr">
        <is>
          <t>Brack.ch</t>
        </is>
      </c>
      <c r="F10" s="9" t="inlineStr">
        <is>
          <t>254198</t>
        </is>
      </c>
      <c r="G10" s="11" t="n">
        <v>14.5</v>
      </c>
      <c r="H10" s="11">
        <f>B10*G10</f>
        <v/>
      </c>
    </row>
    <row r="11">
      <c r="A11" s="6" t="n">
        <v>7</v>
      </c>
      <c r="B11" s="6" t="n">
        <v>18</v>
      </c>
      <c r="C11" s="7" t="inlineStr">
        <is>
          <t>Cat6 Patchkabel (Rot)</t>
        </is>
      </c>
      <c r="D11" s="7" t="inlineStr">
        <is>
          <t>S/FTP, RJ45-Stecker, Länge: 2.0m, flexibel</t>
        </is>
      </c>
      <c r="E11" s="7" t="inlineStr">
        <is>
          <t>Brack.ch</t>
        </is>
      </c>
      <c r="F11" s="6" t="inlineStr">
        <is>
          <t>632541</t>
        </is>
      </c>
      <c r="G11" s="8" t="n">
        <v>4.2</v>
      </c>
      <c r="H11" s="8">
        <f>B11*G11</f>
        <v/>
      </c>
    </row>
    <row r="12">
      <c r="A12" s="9" t="n">
        <v>8</v>
      </c>
      <c r="B12" s="9" t="n">
        <v>120</v>
      </c>
      <c r="C12" s="10" t="inlineStr">
        <is>
          <t>Cat6 UGV-Verlegekabel (Blau)</t>
        </is>
      </c>
      <c r="D12" s="10" t="inlineStr">
        <is>
          <t>S/FTP, AWG23, halogenfrei (LSZH), Meterware</t>
        </is>
      </c>
      <c r="E12" s="10" t="inlineStr">
        <is>
          <t>Brack.ch</t>
        </is>
      </c>
      <c r="F12" s="9" t="inlineStr">
        <is>
          <t>741258</t>
        </is>
      </c>
      <c r="G12" s="11" t="n">
        <v>1.1</v>
      </c>
      <c r="H12" s="11">
        <f>B12*G12</f>
        <v/>
      </c>
    </row>
    <row r="13">
      <c r="A13" s="6" t="n">
        <v>9</v>
      </c>
      <c r="B13" s="6" t="n">
        <v>35</v>
      </c>
      <c r="C13" s="7" t="inlineStr">
        <is>
          <t>Aufputz-Kabelkanal (Weiß)</t>
        </is>
      </c>
      <c r="D13" s="7" t="inlineStr">
        <is>
          <t>Kunststoff PVC, 40x20mm, Länge pro Stück: 2m</t>
        </is>
      </c>
      <c r="E13" s="7" t="inlineStr">
        <is>
          <t>Hornbach</t>
        </is>
      </c>
      <c r="F13" s="6" t="inlineStr">
        <is>
          <t>885214</t>
        </is>
      </c>
      <c r="G13" s="8" t="n">
        <v>3.5</v>
      </c>
      <c r="H13" s="8">
        <f>B13*G13</f>
        <v/>
      </c>
    </row>
    <row r="14">
      <c r="A14" s="9" t="n">
        <v>10</v>
      </c>
      <c r="B14" s="9" t="n">
        <v>1</v>
      </c>
      <c r="C14" s="10" t="inlineStr">
        <is>
          <t>Kabelbinder- &amp; Montageset</t>
        </is>
      </c>
      <c r="D14" s="10" t="inlineStr">
        <is>
          <t>Set à 100 Stk. Kabelbinder, Schrauben und Dübel</t>
        </is>
      </c>
      <c r="E14" s="10" t="inlineStr">
        <is>
          <t>Hornbach</t>
        </is>
      </c>
      <c r="F14" s="9" t="inlineStr">
        <is>
          <t>993214</t>
        </is>
      </c>
      <c r="G14" s="11" t="n">
        <v>15</v>
      </c>
      <c r="H14" s="11">
        <f>B14*G14</f>
        <v/>
      </c>
    </row>
    <row r="15">
      <c r="A15" s="6" t="n">
        <v>11</v>
      </c>
      <c r="B15" s="6" t="n">
        <v>1</v>
      </c>
      <c r="C15" s="7" t="inlineStr">
        <is>
          <t>Beschriftungs- &amp; Kennzeichnungsset</t>
        </is>
      </c>
      <c r="D15" s="7" t="inlineStr">
        <is>
          <t>Selbstklebende Etiketten für Dosen und Kabel</t>
        </is>
      </c>
      <c r="E15" s="7" t="inlineStr">
        <is>
          <t>Brack.ch</t>
        </is>
      </c>
      <c r="F15" s="6" t="inlineStr">
        <is>
          <t>551247</t>
        </is>
      </c>
      <c r="G15" s="8" t="n">
        <v>12</v>
      </c>
      <c r="H15" s="8">
        <f>B15*G15</f>
        <v/>
      </c>
    </row>
    <row r="16">
      <c r="A16" s="12" t="n"/>
      <c r="B16" s="12" t="n"/>
      <c r="C16" s="13" t="inlineStr">
        <is>
          <t>Gesamtsumme</t>
        </is>
      </c>
      <c r="D16" s="12" t="n"/>
      <c r="E16" s="12" t="n"/>
      <c r="F16" s="12" t="n"/>
      <c r="G16" s="12" t="n"/>
      <c r="H16" s="14">
        <f>SUM(H5:H15)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2026-05-18T09:29:26Z</dcterms:created>
  <dcterms:modified xmlns:dcterms="http://purl.org/dc/terms/" xmlns:xsi="http://www.w3.org/2001/XMLSchema-instance" xsi:type="dcterms:W3CDTF">2026-05-18T09:29:26Z</dcterms:modified>
</cp:coreProperties>
</file>